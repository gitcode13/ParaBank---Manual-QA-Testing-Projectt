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  <sheet state="visible" name="Registration" sheetId="2" r:id="rId5"/>
    <sheet state="visible" name="Login-Logout" sheetId="3" r:id="rId6"/>
    <sheet state="visible" name="Open Account" sheetId="4" r:id="rId7"/>
    <sheet state="visible" name="Transfer Funds" sheetId="5" r:id="rId8"/>
    <sheet state="visible" name="Bill Pay" sheetId="6" r:id="rId9"/>
    <sheet state="visible" name="Find Transactions" sheetId="7" r:id="rId10"/>
    <sheet state="visible" name="Bug Report" sheetId="8" r:id="rId11"/>
    <sheet state="visible" name="Test Summary" sheetId="9" r:id="rId12"/>
  </sheets>
  <definedNames/>
  <calcPr/>
</workbook>
</file>

<file path=xl/sharedStrings.xml><?xml version="1.0" encoding="utf-8"?>
<sst xmlns="http://schemas.openxmlformats.org/spreadsheetml/2006/main" count="308" uniqueCount="193">
  <si>
    <t>ParaBank – Manual QA Test Plan</t>
  </si>
  <si>
    <t>Application Under Test: ParaBank Demo Banking Application (https://parabank.parasoft.com/parabank)</t>
  </si>
  <si>
    <t>Project Name</t>
  </si>
  <si>
    <t>ParaBank Manual QA Testing</t>
  </si>
  <si>
    <t>Application URL</t>
  </si>
  <si>
    <t>https://parabank.parasoft.com/parabank/index.htm</t>
  </si>
  <si>
    <t>Prepared By</t>
  </si>
  <si>
    <t>[Your Name]</t>
  </si>
  <si>
    <t>Date</t>
  </si>
  <si>
    <t>[Date]</t>
  </si>
  <si>
    <t>Test Type</t>
  </si>
  <si>
    <t>Manual Functional Testing</t>
  </si>
  <si>
    <t>Objective</t>
  </si>
  <si>
    <t>To validate core banking functionalities of ParaBank including registration, login, account management, fund transfer, bill pay, and transaction search.</t>
  </si>
  <si>
    <t>Scope - In</t>
  </si>
  <si>
    <t>Register, Login/Logout, Open New Account, Accounts Overview, Transfer Funds, Bill Pay, Find Transactions, Update Contact Info, Request Loan</t>
  </si>
  <si>
    <t>Scope - Out</t>
  </si>
  <si>
    <t>Performance testing, Security/Penetration testing, API/Automation testing, Load testing</t>
  </si>
  <si>
    <t>Test Environment</t>
  </si>
  <si>
    <t>Browser: Chrome/Edge (latest) | OS: Windows 11 | URL: ParaBank Demo Site</t>
  </si>
  <si>
    <t>Test Approach</t>
  </si>
  <si>
    <t>Black-box manual testing using functional test cases derived from UI workflows. Each test case includes preconditions, steps, expected and actual results.</t>
  </si>
  <si>
    <t>Entry Criteria</t>
  </si>
  <si>
    <t>ParaBank site is accessible; test data (users, accounts) available</t>
  </si>
  <si>
    <t>Exit Criteria</t>
  </si>
  <si>
    <t>All planned test cases executed; no open Critical/High severity defects</t>
  </si>
  <si>
    <t>Tools Used</t>
  </si>
  <si>
    <t>Excel (Test Case Management), Manual Browser Testing</t>
  </si>
  <si>
    <t>Deliverables</t>
  </si>
  <si>
    <t>Test Plan, Test Cases, Bug Report, Test Summary Report</t>
  </si>
  <si>
    <t>Test Case ID</t>
  </si>
  <si>
    <t>Module</t>
  </si>
  <si>
    <t>Test Scenario</t>
  </si>
  <si>
    <t>Precondition</t>
  </si>
  <si>
    <t>Test Steps</t>
  </si>
  <si>
    <t>Test Data</t>
  </si>
  <si>
    <t>Expected Result</t>
  </si>
  <si>
    <t>Actual Result</t>
  </si>
  <si>
    <t>Status (Pass/Fail/NA)</t>
  </si>
  <si>
    <t>Priority</t>
  </si>
  <si>
    <t>Remarks</t>
  </si>
  <si>
    <t>REG-01</t>
  </si>
  <si>
    <t>Registration</t>
  </si>
  <si>
    <t>Verify user can register with valid details</t>
  </si>
  <si>
    <t>User is on ParaBank homepage</t>
  </si>
  <si>
    <t>1. Click 'Register'
2. Enter valid First Name, Last Name, Address, City, State, Zip, Phone, SSN
3. Enter valid Username and Password
4. Confirm Password
5. Click 'Register'</t>
  </si>
  <si>
    <t>Username: testuser_01 | Password: Test@123</t>
  </si>
  <si>
    <t>Account is created successfully and confirmation message 'Your account was created successfully' is displayed</t>
  </si>
  <si>
    <t>High</t>
  </si>
  <si>
    <t>REG-02</t>
  </si>
  <si>
    <t>Verify registration fails with duplicate username</t>
  </si>
  <si>
    <t>A user with the same username already exists</t>
  </si>
  <si>
    <t>1. Go to Register page
2. Enter all valid details but use an already registered Username
3. Click 'Register'</t>
  </si>
  <si>
    <t>Username: existing_user</t>
  </si>
  <si>
    <t>Error message 'This username already exists' is displayed</t>
  </si>
  <si>
    <t>Medium</t>
  </si>
  <si>
    <t>REG-03</t>
  </si>
  <si>
    <t>Verify registration fails with mandatory fields left blank</t>
  </si>
  <si>
    <t>User is on Register page</t>
  </si>
  <si>
    <t>1. Leave First Name and Username blank
2. Fill remaining fields
3. Click 'Register'</t>
  </si>
  <si>
    <t>First Name: &lt;blank&gt;, Username: &lt;blank&gt;</t>
  </si>
  <si>
    <t>Validation errors displayed: 'First name is required', 'Username is required'</t>
  </si>
  <si>
    <t>REG-04</t>
  </si>
  <si>
    <t>Verify error when Password and Confirm Password do not match</t>
  </si>
  <si>
    <t>1. Fill all fields correctly
2. Enter Password as 'Test@123'
3. Enter Confirm Password as 'Test@456'
4. Click 'Register'</t>
  </si>
  <si>
    <t>Password: Test@123 | Confirm Password: Test@456</t>
  </si>
  <si>
    <t>Error message 'Password did not match confirm password' is displayed</t>
  </si>
  <si>
    <t>LOG-01</t>
  </si>
  <si>
    <t>Login-Logout</t>
  </si>
  <si>
    <t>Verify user can login with valid credentials</t>
  </si>
  <si>
    <t>User has a registered ParaBank account</t>
  </si>
  <si>
    <t>1. Go to ParaBank homepage
2. Enter valid Username
3. Enter valid Password
4. Click 'Log In'</t>
  </si>
  <si>
    <t>Username: john | Password: demo123</t>
  </si>
  <si>
    <t>User is redirected to Accounts Overview page showing account balance</t>
  </si>
  <si>
    <t>LOG-02</t>
  </si>
  <si>
    <t>Verify login fails with invalid password</t>
  </si>
  <si>
    <t>1. Enter valid Username
2. Enter incorrect Password
3. Click 'Log In'</t>
  </si>
  <si>
    <t>Username: john | Password: wrongpass</t>
  </si>
  <si>
    <t>Error message 'The username and password could not be verified' is displayed</t>
  </si>
  <si>
    <t>LOG-03</t>
  </si>
  <si>
    <t>Verify login fails with blank username and password</t>
  </si>
  <si>
    <t>1. Leave Username and Password fields blank
2. Click 'Log In'</t>
  </si>
  <si>
    <t>Username: &lt;blank&gt; | Password: &lt;blank&gt;</t>
  </si>
  <si>
    <t>Error message prompting valid credentials is displayed; user is not logged in</t>
  </si>
  <si>
    <t>LOG-04</t>
  </si>
  <si>
    <t>Verify user can successfully log out</t>
  </si>
  <si>
    <t>User is logged into ParaBank</t>
  </si>
  <si>
    <t>1. Click 'Log Out' link from left navigation menu</t>
  </si>
  <si>
    <t>N/A</t>
  </si>
  <si>
    <t>User is redirected to homepage/login screen and session is terminated</t>
  </si>
  <si>
    <t>LOG-05</t>
  </si>
  <si>
    <t>Verify 'Forgot Login Info' link works with valid details</t>
  </si>
  <si>
    <t>User is on homepage; account exists</t>
  </si>
  <si>
    <t>1. Click 'Forgot login info?'
2. Enter First Name, Last Name, Address, City, State, Zip, SSN
3. Click 'Find My Login Info'</t>
  </si>
  <si>
    <t>Registered customer details</t>
  </si>
  <si>
    <t>System displays the username and allows password reset, or shows confirmation message</t>
  </si>
  <si>
    <t>Low</t>
  </si>
  <si>
    <t>OPA-01</t>
  </si>
  <si>
    <t>Open Account</t>
  </si>
  <si>
    <t>Verify user can open a new Checking account</t>
  </si>
  <si>
    <t>User is logged in and has an existing account</t>
  </si>
  <si>
    <t>1. Click 'Open New Account'
2. Select Account Type = CHECKING
3. Select an existing account to fund from
4. Click 'Open New Account'</t>
  </si>
  <si>
    <t>Account Type: Checking</t>
  </si>
  <si>
    <t>New account is created and new Account ID is displayed with confirmation message</t>
  </si>
  <si>
    <t>OPA-02</t>
  </si>
  <si>
    <t>Verify user can open a new Savings account</t>
  </si>
  <si>
    <t>1. Click 'Open New Account'
2. Select Account Type = SAVINGS
3. Select funding account
4. Click 'Open New Account'</t>
  </si>
  <si>
    <t>Account Type: Savings</t>
  </si>
  <si>
    <t>New savings account is created successfully with a unique Account ID</t>
  </si>
  <si>
    <t>OPA-03</t>
  </si>
  <si>
    <t>Verify new account appears in Accounts Overview</t>
  </si>
  <si>
    <t>A new account has just been created</t>
  </si>
  <si>
    <t>1. Navigate to 'Accounts Overview' after account creation</t>
  </si>
  <si>
    <t>Newly created account is listed with correct type and balance</t>
  </si>
  <si>
    <t>TRF-01</t>
  </si>
  <si>
    <t>Transfer Funds</t>
  </si>
  <si>
    <t>Verify user can transfer funds between own accounts</t>
  </si>
  <si>
    <t>User has at least two accounts with sufficient balance</t>
  </si>
  <si>
    <t>1. Click 'Transfer Funds'
2. Enter Amount
3. Select 'From' account
4. Select 'To' account
5. Click 'Transfer'</t>
  </si>
  <si>
    <t>Amount: 100 | From: Account A | To: Account B</t>
  </si>
  <si>
    <t>Funds transferred successfully; confirmation page shows updated balances</t>
  </si>
  <si>
    <t>TRF-02</t>
  </si>
  <si>
    <t>Verify error when transfer amount exceeds available balance</t>
  </si>
  <si>
    <t>User is logged in with account balance less than transfer amount</t>
  </si>
  <si>
    <t>1. Click 'Transfer Funds'
2. Enter Amount greater than balance
3. Click 'Transfer'</t>
  </si>
  <si>
    <t>Amount: 999999</t>
  </si>
  <si>
    <t>System should validate insufficient balance (Note: ParaBank demo may allow negative balance - document as observed behavior)</t>
  </si>
  <si>
    <t>TRF-03</t>
  </si>
  <si>
    <t>Verify error when transfer amount is zero or negative</t>
  </si>
  <si>
    <t>User is logged in with valid accounts</t>
  </si>
  <si>
    <t>1. Click 'Transfer Funds'
2. Enter Amount = 0 or -50
3. Click 'Transfer'</t>
  </si>
  <si>
    <t>Amount: 0 / -50</t>
  </si>
  <si>
    <t>Validation error is displayed and transfer is not processed</t>
  </si>
  <si>
    <t>TRF-04</t>
  </si>
  <si>
    <t>Verify transfer with same 'From' and 'To' account</t>
  </si>
  <si>
    <t>User has only one account or selects same account both sides</t>
  </si>
  <si>
    <t>1. Click 'Transfer Funds'
2. Select same account for From and To
3. Enter valid Amount
4. Click 'Transfer'</t>
  </si>
  <si>
    <t>From: Account A | To: Account A</t>
  </si>
  <si>
    <t>System should either block the transfer or process it with net-zero balance change (document actual behavior)</t>
  </si>
  <si>
    <t>BPY-01</t>
  </si>
  <si>
    <t>Bill Pay</t>
  </si>
  <si>
    <t>Verify user can pay a bill with valid payee details</t>
  </si>
  <si>
    <t>User is logged in with sufficient account balance</t>
  </si>
  <si>
    <t>1. Click 'Bill Pay'
2. Enter Payee Name, Address, City, State, Zip, Phone, Account#
3. Confirm Account#
4. Enter Amount
5. Select 'From' account
6. Click 'Send Payment'</t>
  </si>
  <si>
    <t>Payee: Electric Co | Amount: 50</t>
  </si>
  <si>
    <t>Payment is processed successfully with confirmation message and updated balance</t>
  </si>
  <si>
    <t>BPY-02</t>
  </si>
  <si>
    <t>Verify error when mandatory Bill Pay fields are blank</t>
  </si>
  <si>
    <t>User is on Bill Pay page</t>
  </si>
  <si>
    <t>1. Leave Payee Name and Amount blank
2. Click 'Send Payment'</t>
  </si>
  <si>
    <t>Payee Name: &lt;blank&gt;, Amount: &lt;blank&gt;</t>
  </si>
  <si>
    <t>Validation errors are displayed for required fields</t>
  </si>
  <si>
    <t>BPY-03</t>
  </si>
  <si>
    <t>Verify error when Account# and Confirm Account# do not match</t>
  </si>
  <si>
    <t>1. Fill all fields
2. Enter Account# = 12345
3. Enter Verify Account# = 54321
4. Click 'Send Payment'</t>
  </si>
  <si>
    <t>Account#: 12345 | Confirm: 54321</t>
  </si>
  <si>
    <t>Error message 'Account numbers do not match' is displayed</t>
  </si>
  <si>
    <t>FTX-01</t>
  </si>
  <si>
    <t>Find Transactions</t>
  </si>
  <si>
    <t>Verify user can search transactions by Date</t>
  </si>
  <si>
    <t>User is logged in and has transaction history</t>
  </si>
  <si>
    <t>1. Click 'Find Transactions'
2. Select an account
3. Enter a valid Date
4. Click 'Find Transactions'</t>
  </si>
  <si>
    <t>Date: [transaction date]</t>
  </si>
  <si>
    <t>Matching transaction(s) for the given date are displayed</t>
  </si>
  <si>
    <t>FTX-02</t>
  </si>
  <si>
    <t>Verify user can search transactions by Amount</t>
  </si>
  <si>
    <t>1. Click 'Find Transactions'
2. Select an account
3. Enter transaction Amount
4. Click 'Find Transactions'</t>
  </si>
  <si>
    <t>Amount: [known txn amount]</t>
  </si>
  <si>
    <t>Transaction matching the entered amount is displayed</t>
  </si>
  <si>
    <t>FTX-03</t>
  </si>
  <si>
    <t>Verify 'no results' message for non-existent transaction search</t>
  </si>
  <si>
    <t>User is logged in</t>
  </si>
  <si>
    <t>1. Click 'Find Transactions'
2. Enter an Amount that does not exist
3. Click 'Find Transactions'</t>
  </si>
  <si>
    <t>System displays 'No transactions found' or similar message</t>
  </si>
  <si>
    <t>Bug ID</t>
  </si>
  <si>
    <t>Summary</t>
  </si>
  <si>
    <t>Steps to Reproduce</t>
  </si>
  <si>
    <t>Severity</t>
  </si>
  <si>
    <t>Status</t>
  </si>
  <si>
    <t>Reported By</t>
  </si>
  <si>
    <t>BUG-01</t>
  </si>
  <si>
    <t>Negative transfer amount is accepted</t>
  </si>
  <si>
    <t>1. Login
2. Go to Transfer Funds
3. Enter Amount = -50
4. Click Transfer</t>
  </si>
  <si>
    <t>System should reject negative amounts with validation error</t>
  </si>
  <si>
    <t>System processes the transfer and reduces balance incorrectly</t>
  </si>
  <si>
    <t>Open</t>
  </si>
  <si>
    <t>Test Summary Report</t>
  </si>
  <si>
    <t>Total Test Cases</t>
  </si>
  <si>
    <t>Passed</t>
  </si>
  <si>
    <t>Failed</t>
  </si>
  <si>
    <t>Not Executed</t>
  </si>
  <si>
    <t>Pass 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</si>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</sst>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/>
      <name val="Arial"/>
      <scheme val="minor"/>
    </font>
    <font>
      <b/>
      <sz val="16.0"/>
      <color rgb="FF1F4E78"/>
      <name val="Arial"/>
    </font>
    <font>
      <sz val="10.0"/>
      <name val="Arial"/>
    </font>
    <font>
      <b/>
      <sz val="11.0"/>
      <name val="Arial"/>
    </font>
    <font/>
    <font>
      <b/>
      <sz val="11.0"/>
      <color rgb="FFFFFFFF"/>
      <name val="Arial"/>
    </font>
    <font>
      <sz val="11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top" wrapText="0"/>
    </xf>
    <xf borderId="2" fillId="0" fontId="2" numFmtId="0" xfId="0" applyAlignment="1" applyBorder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  <xf borderId="1" fillId="3" fontId="5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8" width="14.0"/>
    <col customWidth="1" min="9" max="11" width="8.71"/>
  </cols>
  <sheetData>
    <row r="2">
      <c r="B2" s="1" t="s">
        <v>0</v>
      </c>
    </row>
    <row r="3">
      <c r="B3" s="2" t="s">
        <v>1</v>
      </c>
    </row>
    <row r="5" ht="33.75" customHeight="1">
      <c r="B5" s="3" t="s">
        <v>2</v>
      </c>
      <c r="C5" s="4" t="s">
        <v>3</v>
      </c>
      <c r="D5" s="5"/>
      <c r="E5" s="5"/>
      <c r="F5" s="5"/>
      <c r="G5" s="5"/>
      <c r="H5" s="6"/>
    </row>
    <row r="6" ht="33.75" customHeight="1">
      <c r="B6" s="3" t="s">
        <v>4</v>
      </c>
      <c r="C6" s="4" t="s">
        <v>5</v>
      </c>
      <c r="D6" s="5"/>
      <c r="E6" s="5"/>
      <c r="F6" s="5"/>
      <c r="G6" s="5"/>
      <c r="H6" s="6"/>
    </row>
    <row r="7" ht="33.75" customHeight="1">
      <c r="B7" s="3" t="s">
        <v>6</v>
      </c>
      <c r="C7" s="4" t="s">
        <v>7</v>
      </c>
      <c r="D7" s="5"/>
      <c r="E7" s="5"/>
      <c r="F7" s="5"/>
      <c r="G7" s="5"/>
      <c r="H7" s="6"/>
    </row>
    <row r="8" ht="33.75" customHeight="1">
      <c r="B8" s="3" t="s">
        <v>8</v>
      </c>
      <c r="C8" s="4" t="s">
        <v>9</v>
      </c>
      <c r="D8" s="5"/>
      <c r="E8" s="5"/>
      <c r="F8" s="5"/>
      <c r="G8" s="5"/>
      <c r="H8" s="6"/>
    </row>
    <row r="9" ht="33.75" customHeight="1">
      <c r="B9" s="3" t="s">
        <v>10</v>
      </c>
      <c r="C9" s="4" t="s">
        <v>11</v>
      </c>
      <c r="D9" s="5"/>
      <c r="E9" s="5"/>
      <c r="F9" s="5"/>
      <c r="G9" s="5"/>
      <c r="H9" s="6"/>
    </row>
    <row r="10" ht="33.75" customHeight="1">
      <c r="B10" s="3" t="s">
        <v>12</v>
      </c>
      <c r="C10" s="4" t="s">
        <v>13</v>
      </c>
      <c r="D10" s="5"/>
      <c r="E10" s="5"/>
      <c r="F10" s="5"/>
      <c r="G10" s="5"/>
      <c r="H10" s="6"/>
    </row>
    <row r="11" ht="33.75" customHeight="1">
      <c r="B11" s="3" t="s">
        <v>14</v>
      </c>
      <c r="C11" s="4" t="s">
        <v>15</v>
      </c>
      <c r="D11" s="5"/>
      <c r="E11" s="5"/>
      <c r="F11" s="5"/>
      <c r="G11" s="5"/>
      <c r="H11" s="6"/>
    </row>
    <row r="12" ht="33.75" customHeight="1">
      <c r="B12" s="3" t="s">
        <v>16</v>
      </c>
      <c r="C12" s="4" t="s">
        <v>17</v>
      </c>
      <c r="D12" s="5"/>
      <c r="E12" s="5"/>
      <c r="F12" s="5"/>
      <c r="G12" s="5"/>
      <c r="H12" s="6"/>
    </row>
    <row r="13" ht="33.75" customHeight="1">
      <c r="B13" s="3" t="s">
        <v>18</v>
      </c>
      <c r="C13" s="4" t="s">
        <v>19</v>
      </c>
      <c r="D13" s="5"/>
      <c r="E13" s="5"/>
      <c r="F13" s="5"/>
      <c r="G13" s="5"/>
      <c r="H13" s="6"/>
    </row>
    <row r="14" ht="33.75" customHeight="1">
      <c r="B14" s="3" t="s">
        <v>20</v>
      </c>
      <c r="C14" s="4" t="s">
        <v>21</v>
      </c>
      <c r="D14" s="5"/>
      <c r="E14" s="5"/>
      <c r="F14" s="5"/>
      <c r="G14" s="5"/>
      <c r="H14" s="6"/>
    </row>
    <row r="15" ht="33.75" customHeight="1">
      <c r="B15" s="3" t="s">
        <v>22</v>
      </c>
      <c r="C15" s="4" t="s">
        <v>23</v>
      </c>
      <c r="D15" s="5"/>
      <c r="E15" s="5"/>
      <c r="F15" s="5"/>
      <c r="G15" s="5"/>
      <c r="H15" s="6"/>
    </row>
    <row r="16" ht="33.75" customHeight="1">
      <c r="B16" s="3" t="s">
        <v>24</v>
      </c>
      <c r="C16" s="4" t="s">
        <v>25</v>
      </c>
      <c r="D16" s="5"/>
      <c r="E16" s="5"/>
      <c r="F16" s="5"/>
      <c r="G16" s="5"/>
      <c r="H16" s="6"/>
    </row>
    <row r="17" ht="33.75" customHeight="1">
      <c r="B17" s="3" t="s">
        <v>26</v>
      </c>
      <c r="C17" s="4" t="s">
        <v>27</v>
      </c>
      <c r="D17" s="5"/>
      <c r="E17" s="5"/>
      <c r="F17" s="5"/>
      <c r="G17" s="5"/>
      <c r="H17" s="6"/>
    </row>
    <row r="18" ht="33.75" customHeight="1">
      <c r="B18" s="3" t="s">
        <v>28</v>
      </c>
      <c r="C18" s="4" t="s">
        <v>29</v>
      </c>
      <c r="D18" s="5"/>
      <c r="E18" s="5"/>
      <c r="F18" s="5"/>
      <c r="G18" s="5"/>
      <c r="H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C12:H12"/>
    <mergeCell ref="C13:H13"/>
    <mergeCell ref="C14:H14"/>
    <mergeCell ref="C15:H15"/>
    <mergeCell ref="C16:H16"/>
    <mergeCell ref="C17:H17"/>
    <mergeCell ref="C18:H18"/>
    <mergeCell ref="C5:H5"/>
    <mergeCell ref="C6:H6"/>
    <mergeCell ref="C7:H7"/>
    <mergeCell ref="C8:H8"/>
    <mergeCell ref="C9:H9"/>
    <mergeCell ref="C10:H10"/>
    <mergeCell ref="C11:H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/>
      <c r="I2" s="8"/>
      <c r="J2" s="8" t="s">
        <v>48</v>
      </c>
      <c r="K2" s="8"/>
    </row>
    <row r="3" ht="60.0" customHeight="1">
      <c r="A3" s="8" t="s">
        <v>49</v>
      </c>
      <c r="B3" s="8" t="s">
        <v>42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/>
      <c r="I3" s="8"/>
      <c r="J3" s="8" t="s">
        <v>55</v>
      </c>
      <c r="K3" s="8"/>
    </row>
    <row r="4" ht="60.0" customHeight="1">
      <c r="A4" s="8" t="s">
        <v>56</v>
      </c>
      <c r="B4" s="8" t="s">
        <v>42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  <c r="H4" s="8"/>
      <c r="I4" s="8"/>
      <c r="J4" s="8" t="s">
        <v>48</v>
      </c>
      <c r="K4" s="8"/>
    </row>
    <row r="5" ht="60.0" customHeight="1">
      <c r="A5" s="8" t="s">
        <v>62</v>
      </c>
      <c r="B5" s="8" t="s">
        <v>42</v>
      </c>
      <c r="C5" s="8" t="s">
        <v>63</v>
      </c>
      <c r="D5" s="8" t="s">
        <v>58</v>
      </c>
      <c r="E5" s="8" t="s">
        <v>64</v>
      </c>
      <c r="F5" s="8" t="s">
        <v>65</v>
      </c>
      <c r="G5" s="8" t="s">
        <v>66</v>
      </c>
      <c r="H5" s="8"/>
      <c r="I5" s="8"/>
      <c r="J5" s="8" t="s">
        <v>55</v>
      </c>
      <c r="K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67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/>
      <c r="I2" s="8"/>
      <c r="J2" s="8" t="s">
        <v>48</v>
      </c>
      <c r="K2" s="8"/>
    </row>
    <row r="3" ht="60.0" customHeight="1">
      <c r="A3" s="8" t="s">
        <v>74</v>
      </c>
      <c r="B3" s="8" t="s">
        <v>68</v>
      </c>
      <c r="C3" s="8" t="s">
        <v>75</v>
      </c>
      <c r="D3" s="8" t="s">
        <v>70</v>
      </c>
      <c r="E3" s="8" t="s">
        <v>76</v>
      </c>
      <c r="F3" s="8" t="s">
        <v>77</v>
      </c>
      <c r="G3" s="8" t="s">
        <v>78</v>
      </c>
      <c r="H3" s="8"/>
      <c r="I3" s="8"/>
      <c r="J3" s="8" t="s">
        <v>48</v>
      </c>
      <c r="K3" s="8"/>
    </row>
    <row r="4" ht="60.0" customHeight="1">
      <c r="A4" s="8" t="s">
        <v>79</v>
      </c>
      <c r="B4" s="8" t="s">
        <v>68</v>
      </c>
      <c r="C4" s="8" t="s">
        <v>80</v>
      </c>
      <c r="D4" s="8" t="s">
        <v>44</v>
      </c>
      <c r="E4" s="8" t="s">
        <v>81</v>
      </c>
      <c r="F4" s="8" t="s">
        <v>82</v>
      </c>
      <c r="G4" s="8" t="s">
        <v>83</v>
      </c>
      <c r="H4" s="8"/>
      <c r="I4" s="8"/>
      <c r="J4" s="8" t="s">
        <v>55</v>
      </c>
      <c r="K4" s="8"/>
    </row>
    <row r="5" ht="60.0" customHeight="1">
      <c r="A5" s="8" t="s">
        <v>84</v>
      </c>
      <c r="B5" s="8" t="s">
        <v>68</v>
      </c>
      <c r="C5" s="8" t="s">
        <v>85</v>
      </c>
      <c r="D5" s="8" t="s">
        <v>86</v>
      </c>
      <c r="E5" s="8" t="s">
        <v>87</v>
      </c>
      <c r="F5" s="8" t="s">
        <v>88</v>
      </c>
      <c r="G5" s="8" t="s">
        <v>89</v>
      </c>
      <c r="H5" s="8"/>
      <c r="I5" s="8"/>
      <c r="J5" s="8" t="s">
        <v>48</v>
      </c>
      <c r="K5" s="8"/>
    </row>
    <row r="6" ht="60.0" customHeight="1">
      <c r="A6" s="8" t="s">
        <v>90</v>
      </c>
      <c r="B6" s="8" t="s">
        <v>68</v>
      </c>
      <c r="C6" s="8" t="s">
        <v>91</v>
      </c>
      <c r="D6" s="8" t="s">
        <v>92</v>
      </c>
      <c r="E6" s="8" t="s">
        <v>93</v>
      </c>
      <c r="F6" s="8" t="s">
        <v>94</v>
      </c>
      <c r="G6" s="8" t="s">
        <v>95</v>
      </c>
      <c r="H6" s="8"/>
      <c r="I6" s="8"/>
      <c r="J6" s="8" t="s">
        <v>96</v>
      </c>
      <c r="K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97</v>
      </c>
      <c r="B2" s="8" t="s">
        <v>98</v>
      </c>
      <c r="C2" s="8" t="s">
        <v>99</v>
      </c>
      <c r="D2" s="8" t="s">
        <v>100</v>
      </c>
      <c r="E2" s="8" t="s">
        <v>101</v>
      </c>
      <c r="F2" s="8" t="s">
        <v>102</v>
      </c>
      <c r="G2" s="8" t="s">
        <v>103</v>
      </c>
      <c r="H2" s="8"/>
      <c r="I2" s="8"/>
      <c r="J2" s="8" t="s">
        <v>48</v>
      </c>
      <c r="K2" s="8"/>
    </row>
    <row r="3" ht="60.0" customHeight="1">
      <c r="A3" s="8" t="s">
        <v>104</v>
      </c>
      <c r="B3" s="8" t="s">
        <v>98</v>
      </c>
      <c r="C3" s="8" t="s">
        <v>105</v>
      </c>
      <c r="D3" s="8" t="s">
        <v>100</v>
      </c>
      <c r="E3" s="8" t="s">
        <v>106</v>
      </c>
      <c r="F3" s="8" t="s">
        <v>107</v>
      </c>
      <c r="G3" s="8" t="s">
        <v>108</v>
      </c>
      <c r="H3" s="8"/>
      <c r="I3" s="8"/>
      <c r="J3" s="8" t="s">
        <v>48</v>
      </c>
      <c r="K3" s="8"/>
    </row>
    <row r="4" ht="60.0" customHeight="1">
      <c r="A4" s="8" t="s">
        <v>109</v>
      </c>
      <c r="B4" s="8" t="s">
        <v>98</v>
      </c>
      <c r="C4" s="8" t="s">
        <v>110</v>
      </c>
      <c r="D4" s="8" t="s">
        <v>111</v>
      </c>
      <c r="E4" s="8" t="s">
        <v>112</v>
      </c>
      <c r="F4" s="8" t="s">
        <v>88</v>
      </c>
      <c r="G4" s="8" t="s">
        <v>113</v>
      </c>
      <c r="H4" s="8"/>
      <c r="I4" s="8"/>
      <c r="J4" s="8" t="s">
        <v>55</v>
      </c>
      <c r="K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114</v>
      </c>
      <c r="B2" s="8" t="s">
        <v>115</v>
      </c>
      <c r="C2" s="8" t="s">
        <v>116</v>
      </c>
      <c r="D2" s="8" t="s">
        <v>117</v>
      </c>
      <c r="E2" s="8" t="s">
        <v>118</v>
      </c>
      <c r="F2" s="8" t="s">
        <v>119</v>
      </c>
      <c r="G2" s="8" t="s">
        <v>120</v>
      </c>
      <c r="H2" s="8"/>
      <c r="I2" s="8"/>
      <c r="J2" s="8" t="s">
        <v>48</v>
      </c>
      <c r="K2" s="8"/>
    </row>
    <row r="3" ht="60.0" customHeight="1">
      <c r="A3" s="8" t="s">
        <v>121</v>
      </c>
      <c r="B3" s="8" t="s">
        <v>115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  <c r="H3" s="8"/>
      <c r="I3" s="8"/>
      <c r="J3" s="8" t="s">
        <v>48</v>
      </c>
      <c r="K3" s="8"/>
    </row>
    <row r="4" ht="60.0" customHeight="1">
      <c r="A4" s="8" t="s">
        <v>127</v>
      </c>
      <c r="B4" s="8" t="s">
        <v>115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/>
      <c r="I4" s="8"/>
      <c r="J4" s="8" t="s">
        <v>55</v>
      </c>
      <c r="K4" s="8"/>
    </row>
    <row r="5" ht="60.0" customHeight="1">
      <c r="A5" s="8" t="s">
        <v>133</v>
      </c>
      <c r="B5" s="8" t="s">
        <v>115</v>
      </c>
      <c r="C5" s="8" t="s">
        <v>134</v>
      </c>
      <c r="D5" s="8" t="s">
        <v>135</v>
      </c>
      <c r="E5" s="8" t="s">
        <v>136</v>
      </c>
      <c r="F5" s="8" t="s">
        <v>137</v>
      </c>
      <c r="G5" s="8" t="s">
        <v>138</v>
      </c>
      <c r="H5" s="8"/>
      <c r="I5" s="8"/>
      <c r="J5" s="8" t="s">
        <v>96</v>
      </c>
      <c r="K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139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 s="8"/>
      <c r="I2" s="8"/>
      <c r="J2" s="8" t="s">
        <v>48</v>
      </c>
      <c r="K2" s="8"/>
    </row>
    <row r="3" ht="60.0" customHeight="1">
      <c r="A3" s="8" t="s">
        <v>146</v>
      </c>
      <c r="B3" s="8" t="s">
        <v>140</v>
      </c>
      <c r="C3" s="8" t="s">
        <v>147</v>
      </c>
      <c r="D3" s="8" t="s">
        <v>148</v>
      </c>
      <c r="E3" s="8" t="s">
        <v>149</v>
      </c>
      <c r="F3" s="8" t="s">
        <v>150</v>
      </c>
      <c r="G3" s="8" t="s">
        <v>151</v>
      </c>
      <c r="H3" s="8"/>
      <c r="I3" s="8"/>
      <c r="J3" s="8" t="s">
        <v>55</v>
      </c>
      <c r="K3" s="8"/>
    </row>
    <row r="4" ht="60.0" customHeight="1">
      <c r="A4" s="8" t="s">
        <v>152</v>
      </c>
      <c r="B4" s="8" t="s">
        <v>140</v>
      </c>
      <c r="C4" s="8" t="s">
        <v>153</v>
      </c>
      <c r="D4" s="8" t="s">
        <v>148</v>
      </c>
      <c r="E4" s="8" t="s">
        <v>154</v>
      </c>
      <c r="F4" s="8" t="s">
        <v>155</v>
      </c>
      <c r="G4" s="8" t="s">
        <v>156</v>
      </c>
      <c r="H4" s="8"/>
      <c r="I4" s="8"/>
      <c r="J4" s="8" t="s">
        <v>55</v>
      </c>
      <c r="K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4" width="22.0"/>
    <col customWidth="1" min="5" max="5" width="40.0"/>
    <col customWidth="1" min="6" max="6" width="22.0"/>
    <col customWidth="1" min="7" max="7" width="32.0"/>
    <col customWidth="1" min="8" max="8" width="18.0"/>
    <col customWidth="1" min="9" max="9" width="16.0"/>
    <col customWidth="1" min="10" max="10" width="10.0"/>
    <col customWidth="1" min="11" max="11" width="18.0"/>
  </cols>
  <sheetData>
    <row r="1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</row>
    <row r="2" ht="60.0" customHeight="1">
      <c r="A2" s="8" t="s">
        <v>157</v>
      </c>
      <c r="B2" s="8" t="s">
        <v>158</v>
      </c>
      <c r="C2" s="8" t="s">
        <v>159</v>
      </c>
      <c r="D2" s="8" t="s">
        <v>160</v>
      </c>
      <c r="E2" s="8" t="s">
        <v>161</v>
      </c>
      <c r="F2" s="8" t="s">
        <v>162</v>
      </c>
      <c r="G2" s="8" t="s">
        <v>163</v>
      </c>
      <c r="H2" s="8"/>
      <c r="I2" s="8"/>
      <c r="J2" s="8" t="s">
        <v>55</v>
      </c>
      <c r="K2" s="8"/>
    </row>
    <row r="3" ht="60.0" customHeight="1">
      <c r="A3" s="8" t="s">
        <v>164</v>
      </c>
      <c r="B3" s="8" t="s">
        <v>158</v>
      </c>
      <c r="C3" s="8" t="s">
        <v>165</v>
      </c>
      <c r="D3" s="8" t="s">
        <v>160</v>
      </c>
      <c r="E3" s="8" t="s">
        <v>166</v>
      </c>
      <c r="F3" s="8" t="s">
        <v>167</v>
      </c>
      <c r="G3" s="8" t="s">
        <v>168</v>
      </c>
      <c r="H3" s="8"/>
      <c r="I3" s="8"/>
      <c r="J3" s="8" t="s">
        <v>55</v>
      </c>
      <c r="K3" s="8"/>
    </row>
    <row r="4" ht="60.0" customHeight="1">
      <c r="A4" s="8" t="s">
        <v>169</v>
      </c>
      <c r="B4" s="8" t="s">
        <v>158</v>
      </c>
      <c r="C4" s="8" t="s">
        <v>170</v>
      </c>
      <c r="D4" s="8" t="s">
        <v>171</v>
      </c>
      <c r="E4" s="8" t="s">
        <v>172</v>
      </c>
      <c r="F4" s="8" t="s">
        <v>125</v>
      </c>
      <c r="G4" s="8" t="s">
        <v>173</v>
      </c>
      <c r="H4" s="8"/>
      <c r="I4" s="8"/>
      <c r="J4" s="8" t="s">
        <v>96</v>
      </c>
      <c r="K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6.0"/>
    <col customWidth="1" min="4" max="4" width="34.0"/>
    <col customWidth="1" min="5" max="6" width="28.0"/>
    <col customWidth="1" min="7" max="9" width="12.0"/>
    <col customWidth="1" min="10" max="10" width="16.0"/>
    <col customWidth="1" min="11" max="11" width="12.0"/>
  </cols>
  <sheetData>
    <row r="1">
      <c r="A1" s="7" t="s">
        <v>174</v>
      </c>
      <c r="B1" s="7" t="s">
        <v>31</v>
      </c>
      <c r="C1" s="7" t="s">
        <v>175</v>
      </c>
      <c r="D1" s="7" t="s">
        <v>176</v>
      </c>
      <c r="E1" s="7" t="s">
        <v>36</v>
      </c>
      <c r="F1" s="7" t="s">
        <v>37</v>
      </c>
      <c r="G1" s="7" t="s">
        <v>177</v>
      </c>
      <c r="H1" s="7" t="s">
        <v>39</v>
      </c>
      <c r="I1" s="7" t="s">
        <v>178</v>
      </c>
      <c r="J1" s="7" t="s">
        <v>179</v>
      </c>
      <c r="K1" s="7" t="s">
        <v>8</v>
      </c>
    </row>
    <row r="2" ht="60.0" customHeight="1">
      <c r="A2" s="9" t="s">
        <v>180</v>
      </c>
      <c r="B2" s="9" t="s">
        <v>115</v>
      </c>
      <c r="C2" s="9" t="s">
        <v>181</v>
      </c>
      <c r="D2" s="9" t="s">
        <v>182</v>
      </c>
      <c r="E2" s="9" t="s">
        <v>183</v>
      </c>
      <c r="F2" s="9" t="s">
        <v>184</v>
      </c>
      <c r="G2" s="9" t="s">
        <v>48</v>
      </c>
      <c r="H2" s="9" t="s">
        <v>48</v>
      </c>
      <c r="I2" s="9" t="s">
        <v>185</v>
      </c>
      <c r="J2" s="9" t="s">
        <v>7</v>
      </c>
      <c r="K2" s="9" t="s">
        <v>9</v>
      </c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3" width="16.0"/>
    <col customWidth="1" min="4" max="5" width="10.0"/>
    <col customWidth="1" min="6" max="6" width="14.0"/>
    <col customWidth="1" min="7" max="7" width="10.0"/>
    <col customWidth="1" min="8" max="11" width="8.71"/>
  </cols>
  <sheetData>
    <row r="2">
      <c r="B2" s="1" t="s">
        <v>186</v>
      </c>
    </row>
    <row r="4">
      <c r="B4" s="7" t="s">
        <v>31</v>
      </c>
      <c r="C4" s="7" t="s">
        <v>187</v>
      </c>
      <c r="D4" s="7" t="s">
        <v>188</v>
      </c>
      <c r="E4" s="7" t="s">
        <v>189</v>
      </c>
      <c r="F4" s="7" t="s">
        <v>190</v>
      </c>
      <c r="G4" s="7" t="s">
        <v>191</v>
      </c>
    </row>
    <row r="5">
      <c r="B5" s="11" t="s">
        <v>42</v>
      </c>
      <c r="C5" s="11">
        <v>4.0</v>
      </c>
      <c r="D5" s="11">
        <v>0.0</v>
      </c>
      <c r="E5" s="11">
        <v>0.0</v>
      </c>
      <c r="F5" s="11" t="str">
        <f t="shared" ref="F5:F10" si="1">C5-D5-E5</f>
        <v>4</v>
      </c>
      <c r="G5" s="12" t="str">
        <f t="shared" ref="G5:G11" si="2">IF(C5=0,0,D5/C5)</f>
        <v>0.0%</v>
      </c>
    </row>
    <row r="6">
      <c r="B6" s="11" t="s">
        <v>68</v>
      </c>
      <c r="C6" s="11">
        <v>5.0</v>
      </c>
      <c r="D6" s="11">
        <v>0.0</v>
      </c>
      <c r="E6" s="11">
        <v>0.0</v>
      </c>
      <c r="F6" s="11" t="str">
        <f t="shared" si="1"/>
        <v>5</v>
      </c>
      <c r="G6" s="12" t="str">
        <f t="shared" si="2"/>
        <v>0.0%</v>
      </c>
    </row>
    <row r="7">
      <c r="B7" s="11" t="s">
        <v>98</v>
      </c>
      <c r="C7" s="11">
        <v>3.0</v>
      </c>
      <c r="D7" s="11">
        <v>0.0</v>
      </c>
      <c r="E7" s="11">
        <v>0.0</v>
      </c>
      <c r="F7" s="11" t="str">
        <f t="shared" si="1"/>
        <v>3</v>
      </c>
      <c r="G7" s="12" t="str">
        <f t="shared" si="2"/>
        <v>0.0%</v>
      </c>
    </row>
    <row r="8">
      <c r="B8" s="11" t="s">
        <v>115</v>
      </c>
      <c r="C8" s="11">
        <v>4.0</v>
      </c>
      <c r="D8" s="11">
        <v>0.0</v>
      </c>
      <c r="E8" s="11">
        <v>0.0</v>
      </c>
      <c r="F8" s="11" t="str">
        <f t="shared" si="1"/>
        <v>4</v>
      </c>
      <c r="G8" s="12" t="str">
        <f t="shared" si="2"/>
        <v>0.0%</v>
      </c>
    </row>
    <row r="9">
      <c r="B9" s="11" t="s">
        <v>140</v>
      </c>
      <c r="C9" s="11">
        <v>3.0</v>
      </c>
      <c r="D9" s="11">
        <v>0.0</v>
      </c>
      <c r="E9" s="11">
        <v>0.0</v>
      </c>
      <c r="F9" s="11" t="str">
        <f t="shared" si="1"/>
        <v>3</v>
      </c>
      <c r="G9" s="12" t="str">
        <f t="shared" si="2"/>
        <v>0.0%</v>
      </c>
    </row>
    <row r="10">
      <c r="B10" s="11" t="s">
        <v>158</v>
      </c>
      <c r="C10" s="11">
        <v>3.0</v>
      </c>
      <c r="D10" s="11">
        <v>0.0</v>
      </c>
      <c r="E10" s="11">
        <v>0.0</v>
      </c>
      <c r="F10" s="11" t="str">
        <f t="shared" si="1"/>
        <v>3</v>
      </c>
      <c r="G10" s="12" t="str">
        <f t="shared" si="2"/>
        <v>0.0%</v>
      </c>
    </row>
    <row r="11">
      <c r="B11" s="13" t="s">
        <v>192</v>
      </c>
      <c r="C11" s="13" t="str">
        <f t="shared" ref="C11:F11" si="3">SUM(C5:C10)</f>
        <v>22</v>
      </c>
      <c r="D11" s="13" t="str">
        <f t="shared" si="3"/>
        <v>0</v>
      </c>
      <c r="E11" s="13" t="str">
        <f t="shared" si="3"/>
        <v>0</v>
      </c>
      <c r="F11" s="13" t="str">
        <f t="shared" si="3"/>
        <v>22</v>
      </c>
      <c r="G11" s="14" t="str">
        <f t="shared" si="2"/>
        <v>0.0%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2026-07-10T00:33:57Z</dcterms:created>
  <dc:creator>openpyxl</dc:creator>
  <dc:description/>
  <dc:language>en-US</dc:language>
  <cp:lastModifiedBy/>
  <dcterms:modified xsi:type="dcterms:W3CDTF">2026-07-10T00:33:57Z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